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91b762daa2d24f/Documentos/"/>
    </mc:Choice>
  </mc:AlternateContent>
  <xr:revisionPtr revIDLastSave="578" documentId="8_{BC2A98DB-8C07-4CC0-8D2A-F4B3FEA7B290}" xr6:coauthVersionLast="47" xr6:coauthVersionMax="47" xr10:uidLastSave="{F4372EFD-9E91-4FBE-A1DB-AAC2735B71EB}"/>
  <bookViews>
    <workbookView xWindow="-110" yWindow="-110" windowWidth="19420" windowHeight="10300" activeTab="1" xr2:uid="{EE090799-CE3B-4B0D-8CF9-697387C21EAE}"/>
  </bookViews>
  <sheets>
    <sheet name="Hoja1" sheetId="1" r:id="rId1"/>
    <sheet name="Hoj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3" i="1"/>
</calcChain>
</file>

<file path=xl/sharedStrings.xml><?xml version="1.0" encoding="utf-8"?>
<sst xmlns="http://schemas.openxmlformats.org/spreadsheetml/2006/main" count="101" uniqueCount="47">
  <si>
    <t>Actividad</t>
  </si>
  <si>
    <t>Descripcion</t>
  </si>
  <si>
    <t>Predecesora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</si>
  <si>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</si>
  <si>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</si>
  <si>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</si>
  <si>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</si>
  <si>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</si>
  <si>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</si>
  <si>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</si>
  <si>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</si>
  <si>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</si>
  <si>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</si>
  <si>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</si>
  <si>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</si>
  <si>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</si>
  <si>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Levantamiento de requerimientos</t>
  </si>
  <si>
    <t>Definicion modelo desarrollo</t>
  </si>
  <si>
    <t>Diseño de solucion</t>
  </si>
  <si>
    <t>Diseño de base de datos</t>
  </si>
  <si>
    <t>Desarrollo: Ingreso productos</t>
  </si>
  <si>
    <t>Desarrollo: Seguimento stock</t>
  </si>
  <si>
    <t>Desarrollo: Alta reposicion</t>
  </si>
  <si>
    <t>Desarrollo: Alta proveedores</t>
  </si>
  <si>
    <t>Desarrollo: Compra productos</t>
  </si>
  <si>
    <t xml:space="preserve">Desarrollo: Generacion reportes </t>
  </si>
  <si>
    <t xml:space="preserve">Pruebas integrales </t>
  </si>
  <si>
    <t xml:space="preserve">Implantacion pruebas </t>
  </si>
  <si>
    <t>E</t>
  </si>
  <si>
    <t>Implantacion produccion</t>
  </si>
  <si>
    <t>Documentacion y capacitacion</t>
  </si>
  <si>
    <t>-</t>
  </si>
  <si>
    <t>C,D</t>
  </si>
  <si>
    <t>E,F</t>
  </si>
  <si>
    <t>G,H</t>
  </si>
  <si>
    <t>I,J</t>
  </si>
  <si>
    <t>Optimista (To)</t>
  </si>
  <si>
    <t>Pesimista (Tp)</t>
  </si>
  <si>
    <t>Mas probable (Tm)</t>
  </si>
  <si>
    <t>Te (Semanas)</t>
  </si>
  <si>
    <t>Va</t>
  </si>
  <si>
    <t>ES</t>
  </si>
  <si>
    <t>EF</t>
  </si>
  <si>
    <t>LS</t>
  </si>
  <si>
    <t>LF</t>
  </si>
  <si>
    <t>Holgura</t>
  </si>
  <si>
    <t>TE=To+4Tm+Tp/6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</si>
</sst>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0" xfId="0" applyBorder="1" applyAlignment="1">
      <alignment horizontal="center"/>
    </xf>
    <xf numFmtId="0" fontId="1" fillId="3" borderId="0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755650</xdr:colOff>
      <xdr:row>1</xdr:row>
      <xdr:rowOff>6350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9C4B9C5-BD9D-4C92-8364-626CEB587A6E}"/>
            </a:ext>
          </a:extLst>
        </xdr:cNvPr>
        <xdr:cNvSpPr txBox="1"/>
      </xdr:nvSpPr>
      <xdr:spPr>
        <a:xfrm>
          <a:off x="0" y="0"/>
          <a:ext cx="456565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Tabla de Actividades con Estimación de Tiempos (Semanas)</a:t>
          </a:r>
        </a:p>
      </xdr:txBody>
    </xdr:sp>
    <xdr:clientData/>
  </xdr:twoCellAnchor>
  <xdr:twoCellAnchor>
    <xdr:from>
      <xdr:col>0</xdr:col>
      <xdr:colOff>142302</xdr:colOff>
      <xdr:row>19</xdr:row>
      <xdr:rowOff>175510</xdr:rowOff>
    </xdr:from>
    <xdr:to>
      <xdr:col>1</xdr:col>
      <xdr:colOff>409002</xdr:colOff>
      <xdr:row>21</xdr:row>
      <xdr:rowOff>105660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4D82CEEE-0C04-F2B0-854E-DC46B1A0BCBA}"/>
            </a:ext>
          </a:extLst>
        </xdr:cNvPr>
        <xdr:cNvSpPr/>
      </xdr:nvSpPr>
      <xdr:spPr>
        <a:xfrm>
          <a:off x="142302" y="3735674"/>
          <a:ext cx="901700" cy="304904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INICIO</a:t>
          </a:r>
        </a:p>
      </xdr:txBody>
    </xdr:sp>
    <xdr:clientData/>
  </xdr:twoCellAnchor>
  <xdr:twoCellAnchor>
    <xdr:from>
      <xdr:col>1</xdr:col>
      <xdr:colOff>899300</xdr:colOff>
      <xdr:row>22</xdr:row>
      <xdr:rowOff>38091</xdr:rowOff>
    </xdr:from>
    <xdr:to>
      <xdr:col>1</xdr:col>
      <xdr:colOff>1318400</xdr:colOff>
      <xdr:row>23</xdr:row>
      <xdr:rowOff>142617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F83A46EF-9BC0-40E4-913A-C5D63A38FCE2}"/>
            </a:ext>
          </a:extLst>
        </xdr:cNvPr>
        <xdr:cNvSpPr/>
      </xdr:nvSpPr>
      <xdr:spPr>
        <a:xfrm>
          <a:off x="1534300" y="4114381"/>
          <a:ext cx="419100" cy="28888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B</a:t>
          </a:r>
        </a:p>
      </xdr:txBody>
    </xdr:sp>
    <xdr:clientData/>
  </xdr:twoCellAnchor>
  <xdr:twoCellAnchor>
    <xdr:from>
      <xdr:col>1</xdr:col>
      <xdr:colOff>708947</xdr:colOff>
      <xdr:row>18</xdr:row>
      <xdr:rowOff>81458</xdr:rowOff>
    </xdr:from>
    <xdr:to>
      <xdr:col>1</xdr:col>
      <xdr:colOff>1128047</xdr:colOff>
      <xdr:row>19</xdr:row>
      <xdr:rowOff>183058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4372C2E4-2904-4500-AD3D-6AA201DD3CC0}"/>
            </a:ext>
          </a:extLst>
        </xdr:cNvPr>
        <xdr:cNvSpPr/>
      </xdr:nvSpPr>
      <xdr:spPr>
        <a:xfrm>
          <a:off x="1343947" y="3420329"/>
          <a:ext cx="419100" cy="28595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</a:t>
          </a:r>
        </a:p>
        <a:p>
          <a:pPr algn="l"/>
          <a:endParaRPr lang="es-MX" sz="1100"/>
        </a:p>
      </xdr:txBody>
    </xdr:sp>
    <xdr:clientData/>
  </xdr:twoCellAnchor>
  <xdr:twoCellAnchor>
    <xdr:from>
      <xdr:col>1</xdr:col>
      <xdr:colOff>2368120</xdr:colOff>
      <xdr:row>16</xdr:row>
      <xdr:rowOff>137925</xdr:rowOff>
    </xdr:from>
    <xdr:to>
      <xdr:col>2</xdr:col>
      <xdr:colOff>133827</xdr:colOff>
      <xdr:row>18</xdr:row>
      <xdr:rowOff>52448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92A1416A-0910-476F-8754-33E17FE03456}"/>
            </a:ext>
          </a:extLst>
        </xdr:cNvPr>
        <xdr:cNvSpPr/>
      </xdr:nvSpPr>
      <xdr:spPr>
        <a:xfrm>
          <a:off x="3003120" y="3108086"/>
          <a:ext cx="421782" cy="283233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</a:t>
          </a:r>
        </a:p>
      </xdr:txBody>
    </xdr:sp>
    <xdr:clientData/>
  </xdr:twoCellAnchor>
  <xdr:twoCellAnchor>
    <xdr:from>
      <xdr:col>1</xdr:col>
      <xdr:colOff>1885197</xdr:colOff>
      <xdr:row>23</xdr:row>
      <xdr:rowOff>121111</xdr:rowOff>
    </xdr:from>
    <xdr:to>
      <xdr:col>1</xdr:col>
      <xdr:colOff>2277145</xdr:colOff>
      <xdr:row>25</xdr:row>
      <xdr:rowOff>25657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596190B-E49A-4E1A-8BA9-661919DEF2A8}"/>
            </a:ext>
          </a:extLst>
        </xdr:cNvPr>
        <xdr:cNvSpPr/>
      </xdr:nvSpPr>
      <xdr:spPr>
        <a:xfrm>
          <a:off x="2520197" y="4381756"/>
          <a:ext cx="391948" cy="2732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</a:t>
          </a:r>
        </a:p>
      </xdr:txBody>
    </xdr:sp>
    <xdr:clientData/>
  </xdr:twoCellAnchor>
  <xdr:twoCellAnchor>
    <xdr:from>
      <xdr:col>3</xdr:col>
      <xdr:colOff>134344</xdr:colOff>
      <xdr:row>21</xdr:row>
      <xdr:rowOff>63390</xdr:rowOff>
    </xdr:from>
    <xdr:to>
      <xdr:col>3</xdr:col>
      <xdr:colOff>555072</xdr:colOff>
      <xdr:row>22</xdr:row>
      <xdr:rowOff>164750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530CDF2-6530-4F1E-8715-5A4A5B9C0538}"/>
            </a:ext>
          </a:extLst>
        </xdr:cNvPr>
        <xdr:cNvSpPr/>
      </xdr:nvSpPr>
      <xdr:spPr>
        <a:xfrm>
          <a:off x="4347193" y="3955325"/>
          <a:ext cx="420728" cy="28571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</a:t>
          </a:r>
        </a:p>
      </xdr:txBody>
    </xdr:sp>
    <xdr:clientData/>
  </xdr:twoCellAnchor>
  <xdr:twoCellAnchor>
    <xdr:from>
      <xdr:col>2</xdr:col>
      <xdr:colOff>150528</xdr:colOff>
      <xdr:row>19</xdr:row>
      <xdr:rowOff>120536</xdr:rowOff>
    </xdr:from>
    <xdr:to>
      <xdr:col>2</xdr:col>
      <xdr:colOff>571140</xdr:colOff>
      <xdr:row>21</xdr:row>
      <xdr:rowOff>38225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403D9314-3315-4753-8A87-1EFD7FDBDC2B}"/>
            </a:ext>
          </a:extLst>
        </xdr:cNvPr>
        <xdr:cNvSpPr/>
      </xdr:nvSpPr>
      <xdr:spPr>
        <a:xfrm>
          <a:off x="3441603" y="3643762"/>
          <a:ext cx="420612" cy="286398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</a:t>
          </a:r>
        </a:p>
      </xdr:txBody>
    </xdr:sp>
    <xdr:clientData/>
  </xdr:twoCellAnchor>
  <xdr:twoCellAnchor>
    <xdr:from>
      <xdr:col>3</xdr:col>
      <xdr:colOff>752867</xdr:colOff>
      <xdr:row>24</xdr:row>
      <xdr:rowOff>163923</xdr:rowOff>
    </xdr:from>
    <xdr:to>
      <xdr:col>4</xdr:col>
      <xdr:colOff>12726</xdr:colOff>
      <xdr:row>26</xdr:row>
      <xdr:rowOff>81611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57E86E9A-842B-44B1-A44A-BC92CB590C34}"/>
            </a:ext>
          </a:extLst>
        </xdr:cNvPr>
        <xdr:cNvSpPr/>
      </xdr:nvSpPr>
      <xdr:spPr>
        <a:xfrm>
          <a:off x="4965716" y="4608923"/>
          <a:ext cx="420612" cy="286398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H</a:t>
          </a:r>
        </a:p>
      </xdr:txBody>
    </xdr:sp>
    <xdr:clientData/>
  </xdr:twoCellAnchor>
  <xdr:twoCellAnchor>
    <xdr:from>
      <xdr:col>3</xdr:col>
      <xdr:colOff>631092</xdr:colOff>
      <xdr:row>16</xdr:row>
      <xdr:rowOff>162075</xdr:rowOff>
    </xdr:from>
    <xdr:to>
      <xdr:col>3</xdr:col>
      <xdr:colOff>1051704</xdr:colOff>
      <xdr:row>18</xdr:row>
      <xdr:rowOff>82246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AB531293-C932-48F7-833C-C511E1694436}"/>
            </a:ext>
          </a:extLst>
        </xdr:cNvPr>
        <xdr:cNvSpPr/>
      </xdr:nvSpPr>
      <xdr:spPr>
        <a:xfrm>
          <a:off x="4843941" y="3132236"/>
          <a:ext cx="420612" cy="28888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G</a:t>
          </a:r>
        </a:p>
      </xdr:txBody>
    </xdr:sp>
    <xdr:clientData/>
  </xdr:twoCellAnchor>
  <xdr:twoCellAnchor>
    <xdr:from>
      <xdr:col>5</xdr:col>
      <xdr:colOff>302177</xdr:colOff>
      <xdr:row>21</xdr:row>
      <xdr:rowOff>136406</xdr:rowOff>
    </xdr:from>
    <xdr:to>
      <xdr:col>5</xdr:col>
      <xdr:colOff>722789</xdr:colOff>
      <xdr:row>23</xdr:row>
      <xdr:rowOff>50929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EBA53A70-31DD-45E4-9457-95CC66AB8275}"/>
            </a:ext>
          </a:extLst>
        </xdr:cNvPr>
        <xdr:cNvSpPr/>
      </xdr:nvSpPr>
      <xdr:spPr>
        <a:xfrm>
          <a:off x="6597553" y="4028341"/>
          <a:ext cx="420612" cy="283233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J</a:t>
          </a:r>
        </a:p>
      </xdr:txBody>
    </xdr:sp>
    <xdr:clientData/>
  </xdr:twoCellAnchor>
  <xdr:twoCellAnchor>
    <xdr:from>
      <xdr:col>4</xdr:col>
      <xdr:colOff>281030</xdr:colOff>
      <xdr:row>20</xdr:row>
      <xdr:rowOff>30141</xdr:rowOff>
    </xdr:from>
    <xdr:to>
      <xdr:col>4</xdr:col>
      <xdr:colOff>701642</xdr:colOff>
      <xdr:row>21</xdr:row>
      <xdr:rowOff>129020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349259B6-4C7B-436B-9101-22920419A7C9}"/>
            </a:ext>
          </a:extLst>
        </xdr:cNvPr>
        <xdr:cNvSpPr/>
      </xdr:nvSpPr>
      <xdr:spPr>
        <a:xfrm>
          <a:off x="5654632" y="3737722"/>
          <a:ext cx="420612" cy="283233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</a:t>
          </a:r>
        </a:p>
      </xdr:txBody>
    </xdr:sp>
    <xdr:clientData/>
  </xdr:twoCellAnchor>
  <xdr:twoCellAnchor>
    <xdr:from>
      <xdr:col>7</xdr:col>
      <xdr:colOff>12886</xdr:colOff>
      <xdr:row>21</xdr:row>
      <xdr:rowOff>126687</xdr:rowOff>
    </xdr:from>
    <xdr:to>
      <xdr:col>7</xdr:col>
      <xdr:colOff>434717</xdr:colOff>
      <xdr:row>23</xdr:row>
      <xdr:rowOff>41211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5A9C25A3-0E04-4BC0-AF3D-1B6F0950292C}"/>
            </a:ext>
          </a:extLst>
        </xdr:cNvPr>
        <xdr:cNvSpPr/>
      </xdr:nvSpPr>
      <xdr:spPr>
        <a:xfrm>
          <a:off x="7837725" y="4018622"/>
          <a:ext cx="421831" cy="283234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L</a:t>
          </a:r>
        </a:p>
      </xdr:txBody>
    </xdr:sp>
    <xdr:clientData/>
  </xdr:twoCellAnchor>
  <xdr:twoCellAnchor>
    <xdr:from>
      <xdr:col>6</xdr:col>
      <xdr:colOff>169056</xdr:colOff>
      <xdr:row>17</xdr:row>
      <xdr:rowOff>79401</xdr:rowOff>
    </xdr:from>
    <xdr:to>
      <xdr:col>6</xdr:col>
      <xdr:colOff>590888</xdr:colOff>
      <xdr:row>18</xdr:row>
      <xdr:rowOff>181206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31F8B483-8E11-4098-88E6-E5806CA4E781}"/>
            </a:ext>
          </a:extLst>
        </xdr:cNvPr>
        <xdr:cNvSpPr/>
      </xdr:nvSpPr>
      <xdr:spPr>
        <a:xfrm>
          <a:off x="7229164" y="3233917"/>
          <a:ext cx="421832" cy="2861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K</a:t>
          </a:r>
        </a:p>
      </xdr:txBody>
    </xdr:sp>
    <xdr:clientData/>
  </xdr:twoCellAnchor>
  <xdr:twoCellAnchor>
    <xdr:from>
      <xdr:col>8</xdr:col>
      <xdr:colOff>1035451</xdr:colOff>
      <xdr:row>20</xdr:row>
      <xdr:rowOff>159110</xdr:rowOff>
    </xdr:from>
    <xdr:to>
      <xdr:col>8</xdr:col>
      <xdr:colOff>1454551</xdr:colOff>
      <xdr:row>22</xdr:row>
      <xdr:rowOff>76357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0E288BB2-A9BA-4F2F-B3D7-84C710E16868}"/>
            </a:ext>
          </a:extLst>
        </xdr:cNvPr>
        <xdr:cNvSpPr/>
      </xdr:nvSpPr>
      <xdr:spPr>
        <a:xfrm>
          <a:off x="9625021" y="3866691"/>
          <a:ext cx="419100" cy="2859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</a:t>
          </a:r>
        </a:p>
      </xdr:txBody>
    </xdr:sp>
    <xdr:clientData/>
  </xdr:twoCellAnchor>
  <xdr:twoCellAnchor>
    <xdr:from>
      <xdr:col>8</xdr:col>
      <xdr:colOff>236775</xdr:colOff>
      <xdr:row>18</xdr:row>
      <xdr:rowOff>102751</xdr:rowOff>
    </xdr:from>
    <xdr:to>
      <xdr:col>8</xdr:col>
      <xdr:colOff>657094</xdr:colOff>
      <xdr:row>20</xdr:row>
      <xdr:rowOff>19996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099BFAC8-7E01-46F1-9E79-F00F1C80355B}"/>
            </a:ext>
          </a:extLst>
        </xdr:cNvPr>
        <xdr:cNvSpPr/>
      </xdr:nvSpPr>
      <xdr:spPr>
        <a:xfrm>
          <a:off x="8826345" y="3441622"/>
          <a:ext cx="420319" cy="28595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M</a:t>
          </a:r>
        </a:p>
      </xdr:txBody>
    </xdr:sp>
    <xdr:clientData/>
  </xdr:twoCellAnchor>
  <xdr:twoCellAnchor>
    <xdr:from>
      <xdr:col>9</xdr:col>
      <xdr:colOff>146315</xdr:colOff>
      <xdr:row>17</xdr:row>
      <xdr:rowOff>164847</xdr:rowOff>
    </xdr:from>
    <xdr:to>
      <xdr:col>10</xdr:col>
      <xdr:colOff>284503</xdr:colOff>
      <xdr:row>19</xdr:row>
      <xdr:rowOff>94996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ECE6F30-AFD1-4105-A55F-961764D85216}"/>
            </a:ext>
          </a:extLst>
        </xdr:cNvPr>
        <xdr:cNvSpPr/>
      </xdr:nvSpPr>
      <xdr:spPr>
        <a:xfrm>
          <a:off x="10306315" y="3319363"/>
          <a:ext cx="902919" cy="298859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FIN</a:t>
          </a:r>
        </a:p>
      </xdr:txBody>
    </xdr:sp>
    <xdr:clientData/>
  </xdr:twoCellAnchor>
  <xdr:twoCellAnchor>
    <xdr:from>
      <xdr:col>1</xdr:col>
      <xdr:colOff>409002</xdr:colOff>
      <xdr:row>19</xdr:row>
      <xdr:rowOff>40081</xdr:rowOff>
    </xdr:from>
    <xdr:to>
      <xdr:col>1</xdr:col>
      <xdr:colOff>708947</xdr:colOff>
      <xdr:row>20</xdr:row>
      <xdr:rowOff>140585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3A58FF41-BEC8-C1AB-366F-317B888A449B}"/>
            </a:ext>
          </a:extLst>
        </xdr:cNvPr>
        <xdr:cNvCxnSpPr>
          <a:stCxn id="4" idx="6"/>
          <a:endCxn id="6" idx="2"/>
        </xdr:cNvCxnSpPr>
      </xdr:nvCxnSpPr>
      <xdr:spPr>
        <a:xfrm flipV="1">
          <a:off x="1044002" y="3563307"/>
          <a:ext cx="299945" cy="284859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918497</xdr:colOff>
      <xdr:row>19</xdr:row>
      <xdr:rowOff>183058</xdr:rowOff>
    </xdr:from>
    <xdr:to>
      <xdr:col>1</xdr:col>
      <xdr:colOff>1108850</xdr:colOff>
      <xdr:row>22</xdr:row>
      <xdr:rowOff>38091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A97F8B34-B20A-D43A-A7A5-BA4DB67A9E34}"/>
            </a:ext>
          </a:extLst>
        </xdr:cNvPr>
        <xdr:cNvCxnSpPr>
          <a:stCxn id="6" idx="4"/>
          <a:endCxn id="5" idx="0"/>
        </xdr:cNvCxnSpPr>
      </xdr:nvCxnSpPr>
      <xdr:spPr>
        <a:xfrm>
          <a:off x="1553497" y="3706284"/>
          <a:ext cx="190353" cy="4080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1318400</xdr:colOff>
      <xdr:row>22</xdr:row>
      <xdr:rowOff>182532</xdr:rowOff>
    </xdr:from>
    <xdr:to>
      <xdr:col>1</xdr:col>
      <xdr:colOff>1942596</xdr:colOff>
      <xdr:row>24</xdr:row>
      <xdr:rowOff>169995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244B3280-5096-9D85-E11F-041DC4D7054B}"/>
            </a:ext>
          </a:extLst>
        </xdr:cNvPr>
        <xdr:cNvCxnSpPr>
          <a:stCxn id="5" idx="6"/>
          <a:endCxn id="8" idx="3"/>
        </xdr:cNvCxnSpPr>
      </xdr:nvCxnSpPr>
      <xdr:spPr>
        <a:xfrm>
          <a:off x="1953400" y="4258822"/>
          <a:ext cx="624196" cy="3561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1257024</xdr:colOff>
      <xdr:row>17</xdr:row>
      <xdr:rowOff>95187</xdr:rowOff>
    </xdr:from>
    <xdr:to>
      <xdr:col>1</xdr:col>
      <xdr:colOff>2368120</xdr:colOff>
      <xdr:row>22</xdr:row>
      <xdr:rowOff>80397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06AB5A6A-F646-7049-0FC1-8AB1CA7BB25D}"/>
            </a:ext>
          </a:extLst>
        </xdr:cNvPr>
        <xdr:cNvCxnSpPr>
          <a:stCxn id="5" idx="7"/>
          <a:endCxn id="7" idx="2"/>
        </xdr:cNvCxnSpPr>
      </xdr:nvCxnSpPr>
      <xdr:spPr>
        <a:xfrm flipV="1">
          <a:off x="1892024" y="3249703"/>
          <a:ext cx="1111096" cy="90698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2579011</xdr:colOff>
      <xdr:row>18</xdr:row>
      <xdr:rowOff>52448</xdr:rowOff>
    </xdr:from>
    <xdr:to>
      <xdr:col>2</xdr:col>
      <xdr:colOff>212125</xdr:colOff>
      <xdr:row>19</xdr:row>
      <xdr:rowOff>162478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C9040D4D-5D96-720B-8D1B-ABD868F7DAE5}"/>
            </a:ext>
          </a:extLst>
        </xdr:cNvPr>
        <xdr:cNvCxnSpPr>
          <a:stCxn id="7" idx="4"/>
          <a:endCxn id="10" idx="1"/>
        </xdr:cNvCxnSpPr>
      </xdr:nvCxnSpPr>
      <xdr:spPr>
        <a:xfrm>
          <a:off x="3214011" y="3391319"/>
          <a:ext cx="289189" cy="2943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2277145</xdr:colOff>
      <xdr:row>20</xdr:row>
      <xdr:rowOff>79380</xdr:rowOff>
    </xdr:from>
    <xdr:to>
      <xdr:col>2</xdr:col>
      <xdr:colOff>150528</xdr:colOff>
      <xdr:row>24</xdr:row>
      <xdr:rowOff>73384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A7533194-191E-057D-661A-B93CF77B9B8D}"/>
            </a:ext>
          </a:extLst>
        </xdr:cNvPr>
        <xdr:cNvCxnSpPr>
          <a:stCxn id="8" idx="6"/>
          <a:endCxn id="10" idx="2"/>
        </xdr:cNvCxnSpPr>
      </xdr:nvCxnSpPr>
      <xdr:spPr>
        <a:xfrm flipV="1">
          <a:off x="2912145" y="3786961"/>
          <a:ext cx="529458" cy="7314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133827</xdr:colOff>
      <xdr:row>17</xdr:row>
      <xdr:rowOff>95187</xdr:rowOff>
    </xdr:from>
    <xdr:to>
      <xdr:col>3</xdr:col>
      <xdr:colOff>344708</xdr:colOff>
      <xdr:row>21</xdr:row>
      <xdr:rowOff>63390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7ACE10FD-9B90-14EA-3FB3-EDDC67778F6C}"/>
            </a:ext>
          </a:extLst>
        </xdr:cNvPr>
        <xdr:cNvCxnSpPr>
          <a:stCxn id="7" idx="6"/>
          <a:endCxn id="9" idx="0"/>
        </xdr:cNvCxnSpPr>
      </xdr:nvCxnSpPr>
      <xdr:spPr>
        <a:xfrm>
          <a:off x="3424902" y="3249703"/>
          <a:ext cx="1132655" cy="70562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2219746</xdr:colOff>
      <xdr:row>22</xdr:row>
      <xdr:rowOff>21893</xdr:rowOff>
    </xdr:from>
    <xdr:to>
      <xdr:col>3</xdr:col>
      <xdr:colOff>134344</xdr:colOff>
      <xdr:row>24</xdr:row>
      <xdr:rowOff>169995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3E924A88-7D03-4E64-5AF7-2565C52C7014}"/>
            </a:ext>
          </a:extLst>
        </xdr:cNvPr>
        <xdr:cNvCxnSpPr>
          <a:stCxn id="8" idx="5"/>
          <a:endCxn id="9" idx="2"/>
        </xdr:cNvCxnSpPr>
      </xdr:nvCxnSpPr>
      <xdr:spPr>
        <a:xfrm flipV="1">
          <a:off x="2854746" y="4098183"/>
          <a:ext cx="1492447" cy="51681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509543</xdr:colOff>
      <xdr:row>17</xdr:row>
      <xdr:rowOff>122161</xdr:rowOff>
    </xdr:from>
    <xdr:to>
      <xdr:col>3</xdr:col>
      <xdr:colOff>631092</xdr:colOff>
      <xdr:row>19</xdr:row>
      <xdr:rowOff>162478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8C30CA7D-AA60-1269-554C-14A8A8B8B40C}"/>
            </a:ext>
          </a:extLst>
        </xdr:cNvPr>
        <xdr:cNvCxnSpPr>
          <a:stCxn id="10" idx="7"/>
          <a:endCxn id="12" idx="2"/>
        </xdr:cNvCxnSpPr>
      </xdr:nvCxnSpPr>
      <xdr:spPr>
        <a:xfrm flipV="1">
          <a:off x="3800618" y="3276677"/>
          <a:ext cx="1043323" cy="4090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493458</xdr:colOff>
      <xdr:row>18</xdr:row>
      <xdr:rowOff>39940</xdr:rowOff>
    </xdr:from>
    <xdr:to>
      <xdr:col>3</xdr:col>
      <xdr:colOff>692689</xdr:colOff>
      <xdr:row>21</xdr:row>
      <xdr:rowOff>105232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D027F6F4-A35D-D738-865E-41144937C50E}"/>
            </a:ext>
          </a:extLst>
        </xdr:cNvPr>
        <xdr:cNvCxnSpPr>
          <a:stCxn id="9" idx="7"/>
          <a:endCxn id="12" idx="3"/>
        </xdr:cNvCxnSpPr>
      </xdr:nvCxnSpPr>
      <xdr:spPr>
        <a:xfrm flipV="1">
          <a:off x="4706307" y="3378811"/>
          <a:ext cx="199231" cy="61835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360834</xdr:colOff>
      <xdr:row>21</xdr:row>
      <xdr:rowOff>38225</xdr:rowOff>
    </xdr:from>
    <xdr:to>
      <xdr:col>3</xdr:col>
      <xdr:colOff>752867</xdr:colOff>
      <xdr:row>25</xdr:row>
      <xdr:rowOff>122767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3C5B12D1-1FFE-3830-FA1D-FD4123D20026}"/>
            </a:ext>
          </a:extLst>
        </xdr:cNvPr>
        <xdr:cNvCxnSpPr>
          <a:stCxn id="10" idx="4"/>
          <a:endCxn id="11" idx="2"/>
        </xdr:cNvCxnSpPr>
      </xdr:nvCxnSpPr>
      <xdr:spPr>
        <a:xfrm>
          <a:off x="3651909" y="3930160"/>
          <a:ext cx="1313807" cy="82196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555072</xdr:colOff>
      <xdr:row>22</xdr:row>
      <xdr:rowOff>21893</xdr:rowOff>
    </xdr:from>
    <xdr:to>
      <xdr:col>3</xdr:col>
      <xdr:colOff>963173</xdr:colOff>
      <xdr:row>24</xdr:row>
      <xdr:rowOff>163923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DA6C3163-BC49-B5B6-B341-F0EB7D8618A2}"/>
            </a:ext>
          </a:extLst>
        </xdr:cNvPr>
        <xdr:cNvCxnSpPr>
          <a:stCxn id="9" idx="6"/>
          <a:endCxn id="11" idx="0"/>
        </xdr:cNvCxnSpPr>
      </xdr:nvCxnSpPr>
      <xdr:spPr>
        <a:xfrm>
          <a:off x="4767921" y="4098183"/>
          <a:ext cx="408101" cy="5107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1051704</xdr:colOff>
      <xdr:row>17</xdr:row>
      <xdr:rowOff>122161</xdr:rowOff>
    </xdr:from>
    <xdr:to>
      <xdr:col>4</xdr:col>
      <xdr:colOff>491336</xdr:colOff>
      <xdr:row>20</xdr:row>
      <xdr:rowOff>30141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739F8F46-CC03-DE39-193A-5D4E104AA117}"/>
            </a:ext>
          </a:extLst>
        </xdr:cNvPr>
        <xdr:cNvCxnSpPr>
          <a:stCxn id="12" idx="6"/>
          <a:endCxn id="14" idx="0"/>
        </xdr:cNvCxnSpPr>
      </xdr:nvCxnSpPr>
      <xdr:spPr>
        <a:xfrm>
          <a:off x="5264553" y="3276677"/>
          <a:ext cx="600385" cy="4610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1111882</xdr:colOff>
      <xdr:row>21</xdr:row>
      <xdr:rowOff>87541</xdr:rowOff>
    </xdr:from>
    <xdr:to>
      <xdr:col>4</xdr:col>
      <xdr:colOff>342627</xdr:colOff>
      <xdr:row>25</xdr:row>
      <xdr:rowOff>21510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60DADE21-B946-E0FF-02D8-EFA3C238394C}"/>
            </a:ext>
          </a:extLst>
        </xdr:cNvPr>
        <xdr:cNvCxnSpPr>
          <a:stCxn id="11" idx="7"/>
          <a:endCxn id="14" idx="3"/>
        </xdr:cNvCxnSpPr>
      </xdr:nvCxnSpPr>
      <xdr:spPr>
        <a:xfrm flipV="1">
          <a:off x="5324731" y="3979476"/>
          <a:ext cx="391498" cy="67138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990107</xdr:colOff>
      <xdr:row>17</xdr:row>
      <xdr:rowOff>20026</xdr:rowOff>
    </xdr:from>
    <xdr:to>
      <xdr:col>5</xdr:col>
      <xdr:colOff>512483</xdr:colOff>
      <xdr:row>21</xdr:row>
      <xdr:rowOff>136406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B3FE590B-69F1-2376-7835-9D5BB7C7DD17}"/>
            </a:ext>
          </a:extLst>
        </xdr:cNvPr>
        <xdr:cNvCxnSpPr>
          <a:stCxn id="12" idx="7"/>
          <a:endCxn id="13" idx="0"/>
        </xdr:cNvCxnSpPr>
      </xdr:nvCxnSpPr>
      <xdr:spPr>
        <a:xfrm>
          <a:off x="5202956" y="3174542"/>
          <a:ext cx="1604903" cy="8537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12726</xdr:colOff>
      <xdr:row>23</xdr:row>
      <xdr:rowOff>9450</xdr:rowOff>
    </xdr:from>
    <xdr:to>
      <xdr:col>5</xdr:col>
      <xdr:colOff>363774</xdr:colOff>
      <xdr:row>25</xdr:row>
      <xdr:rowOff>122767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0BA63FD5-3055-8C5C-415F-4983634C43F5}"/>
            </a:ext>
          </a:extLst>
        </xdr:cNvPr>
        <xdr:cNvCxnSpPr>
          <a:stCxn id="11" idx="6"/>
          <a:endCxn id="13" idx="3"/>
        </xdr:cNvCxnSpPr>
      </xdr:nvCxnSpPr>
      <xdr:spPr>
        <a:xfrm flipV="1">
          <a:off x="5386328" y="4270095"/>
          <a:ext cx="1272822" cy="48202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640045</xdr:colOff>
      <xdr:row>18</xdr:row>
      <xdr:rowOff>38126</xdr:rowOff>
    </xdr:from>
    <xdr:to>
      <xdr:col>6</xdr:col>
      <xdr:colOff>169056</xdr:colOff>
      <xdr:row>20</xdr:row>
      <xdr:rowOff>71620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53178302-6B7C-0158-DECC-2CEA84C7F31F}"/>
            </a:ext>
          </a:extLst>
        </xdr:cNvPr>
        <xdr:cNvCxnSpPr>
          <a:stCxn id="14" idx="7"/>
          <a:endCxn id="16" idx="2"/>
        </xdr:cNvCxnSpPr>
      </xdr:nvCxnSpPr>
      <xdr:spPr>
        <a:xfrm flipV="1">
          <a:off x="6013647" y="3376997"/>
          <a:ext cx="1215517" cy="4022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722789</xdr:colOff>
      <xdr:row>18</xdr:row>
      <xdr:rowOff>139299</xdr:rowOff>
    </xdr:from>
    <xdr:to>
      <xdr:col>6</xdr:col>
      <xdr:colOff>230832</xdr:colOff>
      <xdr:row>22</xdr:row>
      <xdr:rowOff>93668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DA5D43A5-9853-AA24-8C8D-F6CECD6911D1}"/>
            </a:ext>
          </a:extLst>
        </xdr:cNvPr>
        <xdr:cNvCxnSpPr>
          <a:stCxn id="13" idx="6"/>
          <a:endCxn id="16" idx="3"/>
        </xdr:cNvCxnSpPr>
      </xdr:nvCxnSpPr>
      <xdr:spPr>
        <a:xfrm flipV="1">
          <a:off x="7018165" y="3478170"/>
          <a:ext cx="272775" cy="6917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529112</xdr:colOff>
      <xdr:row>18</xdr:row>
      <xdr:rowOff>139299</xdr:rowOff>
    </xdr:from>
    <xdr:to>
      <xdr:col>7</xdr:col>
      <xdr:colOff>74662</xdr:colOff>
      <xdr:row>21</xdr:row>
      <xdr:rowOff>168166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C423CD0C-E41C-02E4-EDF4-2273358534A7}"/>
            </a:ext>
          </a:extLst>
        </xdr:cNvPr>
        <xdr:cNvCxnSpPr>
          <a:stCxn id="16" idx="5"/>
          <a:endCxn id="15" idx="1"/>
        </xdr:cNvCxnSpPr>
      </xdr:nvCxnSpPr>
      <xdr:spPr>
        <a:xfrm>
          <a:off x="7589220" y="3478170"/>
          <a:ext cx="310281" cy="5819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434717</xdr:colOff>
      <xdr:row>19</xdr:row>
      <xdr:rowOff>61374</xdr:rowOff>
    </xdr:from>
    <xdr:to>
      <xdr:col>8</xdr:col>
      <xdr:colOff>236775</xdr:colOff>
      <xdr:row>22</xdr:row>
      <xdr:rowOff>83949</xdr:rowOff>
    </xdr:to>
    <xdr:cxnSp macro="">
      <xdr:nvCxnSpPr>
        <xdr:cNvPr id="67" name="Conector recto de flecha 66">
          <a:extLst>
            <a:ext uri="{FF2B5EF4-FFF2-40B4-BE49-F238E27FC236}">
              <a16:creationId xmlns:a16="http://schemas.microsoft.com/office/drawing/2014/main" id="{709C874A-2D85-7AC3-A2DE-FA1ACBDE523A}"/>
            </a:ext>
          </a:extLst>
        </xdr:cNvPr>
        <xdr:cNvCxnSpPr>
          <a:stCxn id="15" idx="6"/>
          <a:endCxn id="18" idx="2"/>
        </xdr:cNvCxnSpPr>
      </xdr:nvCxnSpPr>
      <xdr:spPr>
        <a:xfrm flipV="1">
          <a:off x="8259556" y="3584600"/>
          <a:ext cx="566789" cy="5756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657094</xdr:colOff>
      <xdr:row>19</xdr:row>
      <xdr:rowOff>61374</xdr:rowOff>
    </xdr:from>
    <xdr:to>
      <xdr:col>8</xdr:col>
      <xdr:colOff>1035451</xdr:colOff>
      <xdr:row>21</xdr:row>
      <xdr:rowOff>117734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CA35AD3B-95CD-20E1-6774-3433BCD3298D}"/>
            </a:ext>
          </a:extLst>
        </xdr:cNvPr>
        <xdr:cNvCxnSpPr>
          <a:stCxn id="18" idx="6"/>
          <a:endCxn id="17" idx="2"/>
        </xdr:cNvCxnSpPr>
      </xdr:nvCxnSpPr>
      <xdr:spPr>
        <a:xfrm>
          <a:off x="9246664" y="3584600"/>
          <a:ext cx="378357" cy="4250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1454551</xdr:colOff>
      <xdr:row>18</xdr:row>
      <xdr:rowOff>129922</xdr:rowOff>
    </xdr:from>
    <xdr:to>
      <xdr:col>9</xdr:col>
      <xdr:colOff>146315</xdr:colOff>
      <xdr:row>21</xdr:row>
      <xdr:rowOff>117734</xdr:rowOff>
    </xdr:to>
    <xdr:cxnSp macro="">
      <xdr:nvCxnSpPr>
        <xdr:cNvPr id="71" name="Conector recto de flecha 70">
          <a:extLst>
            <a:ext uri="{FF2B5EF4-FFF2-40B4-BE49-F238E27FC236}">
              <a16:creationId xmlns:a16="http://schemas.microsoft.com/office/drawing/2014/main" id="{ECF44090-65F7-8DCF-857A-8FBCF4B712F6}"/>
            </a:ext>
          </a:extLst>
        </xdr:cNvPr>
        <xdr:cNvCxnSpPr>
          <a:stCxn id="17" idx="6"/>
          <a:endCxn id="19" idx="2"/>
        </xdr:cNvCxnSpPr>
      </xdr:nvCxnSpPr>
      <xdr:spPr>
        <a:xfrm flipV="1">
          <a:off x="10044121" y="3468793"/>
          <a:ext cx="262194" cy="5408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928602</xdr:colOff>
      <xdr:row>17</xdr:row>
      <xdr:rowOff>54624</xdr:rowOff>
    </xdr:from>
    <xdr:to>
      <xdr:col>1</xdr:col>
      <xdr:colOff>1160752</xdr:colOff>
      <xdr:row>18</xdr:row>
      <xdr:rowOff>109247</xdr:rowOff>
    </xdr:to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B454A1AA-25D0-3277-6C92-0D12A52D136F}"/>
            </a:ext>
          </a:extLst>
        </xdr:cNvPr>
        <xdr:cNvSpPr txBox="1"/>
      </xdr:nvSpPr>
      <xdr:spPr>
        <a:xfrm>
          <a:off x="1563602" y="3209140"/>
          <a:ext cx="232150" cy="2389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1</a:t>
          </a:r>
        </a:p>
      </xdr:txBody>
    </xdr:sp>
    <xdr:clientData/>
  </xdr:twoCellAnchor>
  <xdr:twoCellAnchor>
    <xdr:from>
      <xdr:col>1</xdr:col>
      <xdr:colOff>848850</xdr:colOff>
      <xdr:row>23</xdr:row>
      <xdr:rowOff>157043</xdr:rowOff>
    </xdr:from>
    <xdr:to>
      <xdr:col>1</xdr:col>
      <xdr:colOff>1242687</xdr:colOff>
      <xdr:row>25</xdr:row>
      <xdr:rowOff>29497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195F09E2-D53A-459F-9DF2-48D58843931D}"/>
            </a:ext>
          </a:extLst>
        </xdr:cNvPr>
        <xdr:cNvSpPr txBox="1"/>
      </xdr:nvSpPr>
      <xdr:spPr>
        <a:xfrm>
          <a:off x="1483850" y="4417688"/>
          <a:ext cx="393837" cy="2411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0.5</a:t>
          </a:r>
        </a:p>
      </xdr:txBody>
    </xdr:sp>
    <xdr:clientData/>
  </xdr:twoCellAnchor>
  <xdr:twoCellAnchor>
    <xdr:from>
      <xdr:col>1</xdr:col>
      <xdr:colOff>2264424</xdr:colOff>
      <xdr:row>18</xdr:row>
      <xdr:rowOff>11198</xdr:rowOff>
    </xdr:from>
    <xdr:to>
      <xdr:col>1</xdr:col>
      <xdr:colOff>2496574</xdr:colOff>
      <xdr:row>19</xdr:row>
      <xdr:rowOff>65821</xdr:rowOff>
    </xdr:to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54C22377-E153-400A-A84E-138FA448F101}"/>
            </a:ext>
          </a:extLst>
        </xdr:cNvPr>
        <xdr:cNvSpPr txBox="1"/>
      </xdr:nvSpPr>
      <xdr:spPr>
        <a:xfrm>
          <a:off x="2899424" y="3350069"/>
          <a:ext cx="232150" cy="2389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1</a:t>
          </a:r>
        </a:p>
      </xdr:txBody>
    </xdr:sp>
    <xdr:clientData/>
  </xdr:twoCellAnchor>
  <xdr:twoCellAnchor>
    <xdr:from>
      <xdr:col>1</xdr:col>
      <xdr:colOff>1877688</xdr:colOff>
      <xdr:row>22</xdr:row>
      <xdr:rowOff>88490</xdr:rowOff>
    </xdr:from>
    <xdr:to>
      <xdr:col>1</xdr:col>
      <xdr:colOff>2273709</xdr:colOff>
      <xdr:row>23</xdr:row>
      <xdr:rowOff>109248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23B0369A-8F68-45DA-8752-3C55D4FE614D}"/>
            </a:ext>
          </a:extLst>
        </xdr:cNvPr>
        <xdr:cNvSpPr txBox="1"/>
      </xdr:nvSpPr>
      <xdr:spPr>
        <a:xfrm>
          <a:off x="2512688" y="4164780"/>
          <a:ext cx="396021" cy="2051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1.5</a:t>
          </a:r>
        </a:p>
      </xdr:txBody>
    </xdr:sp>
    <xdr:clientData/>
  </xdr:twoCellAnchor>
  <xdr:twoCellAnchor>
    <xdr:from>
      <xdr:col>2</xdr:col>
      <xdr:colOff>186268</xdr:colOff>
      <xdr:row>18</xdr:row>
      <xdr:rowOff>70192</xdr:rowOff>
    </xdr:from>
    <xdr:to>
      <xdr:col>2</xdr:col>
      <xdr:colOff>418418</xdr:colOff>
      <xdr:row>19</xdr:row>
      <xdr:rowOff>124815</xdr:rowOff>
    </xdr:to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5758DCC1-A557-40CA-A30A-FE13E8E131FD}"/>
            </a:ext>
          </a:extLst>
        </xdr:cNvPr>
        <xdr:cNvSpPr txBox="1"/>
      </xdr:nvSpPr>
      <xdr:spPr>
        <a:xfrm>
          <a:off x="3477343" y="3409063"/>
          <a:ext cx="232150" cy="2389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2</a:t>
          </a:r>
        </a:p>
      </xdr:txBody>
    </xdr:sp>
    <xdr:clientData/>
  </xdr:twoCellAnchor>
  <xdr:twoCellAnchor>
    <xdr:from>
      <xdr:col>3</xdr:col>
      <xdr:colOff>338669</xdr:colOff>
      <xdr:row>22</xdr:row>
      <xdr:rowOff>161140</xdr:rowOff>
    </xdr:from>
    <xdr:to>
      <xdr:col>3</xdr:col>
      <xdr:colOff>570819</xdr:colOff>
      <xdr:row>24</xdr:row>
      <xdr:rowOff>31408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F6BB9960-B684-4320-8316-CE5C7AB480D0}"/>
            </a:ext>
          </a:extLst>
        </xdr:cNvPr>
        <xdr:cNvSpPr txBox="1"/>
      </xdr:nvSpPr>
      <xdr:spPr>
        <a:xfrm>
          <a:off x="4551518" y="4237430"/>
          <a:ext cx="232150" cy="2389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2</a:t>
          </a:r>
        </a:p>
      </xdr:txBody>
    </xdr:sp>
    <xdr:clientData/>
  </xdr:twoCellAnchor>
  <xdr:twoCellAnchor>
    <xdr:from>
      <xdr:col>3</xdr:col>
      <xdr:colOff>723764</xdr:colOff>
      <xdr:row>18</xdr:row>
      <xdr:rowOff>74562</xdr:rowOff>
    </xdr:from>
    <xdr:to>
      <xdr:col>3</xdr:col>
      <xdr:colOff>1099302</xdr:colOff>
      <xdr:row>19</xdr:row>
      <xdr:rowOff>75107</xdr:rowOff>
    </xdr:to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D0759685-CC2D-4866-938E-11467784D308}"/>
            </a:ext>
          </a:extLst>
        </xdr:cNvPr>
        <xdr:cNvSpPr txBox="1"/>
      </xdr:nvSpPr>
      <xdr:spPr>
        <a:xfrm>
          <a:off x="4936613" y="3413433"/>
          <a:ext cx="375538" cy="18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1.5</a:t>
          </a:r>
        </a:p>
      </xdr:txBody>
    </xdr:sp>
    <xdr:clientData/>
  </xdr:twoCellAnchor>
  <xdr:twoCellAnchor>
    <xdr:from>
      <xdr:col>3</xdr:col>
      <xdr:colOff>752716</xdr:colOff>
      <xdr:row>26</xdr:row>
      <xdr:rowOff>90402</xdr:rowOff>
    </xdr:from>
    <xdr:to>
      <xdr:col>3</xdr:col>
      <xdr:colOff>1147098</xdr:colOff>
      <xdr:row>27</xdr:row>
      <xdr:rowOff>122903</xdr:rowOff>
    </xdr:to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C396F51F-9AEB-44E4-926C-E7A30DF62237}"/>
            </a:ext>
          </a:extLst>
        </xdr:cNvPr>
        <xdr:cNvSpPr txBox="1"/>
      </xdr:nvSpPr>
      <xdr:spPr>
        <a:xfrm>
          <a:off x="4965565" y="4904112"/>
          <a:ext cx="394382" cy="2168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1.5</a:t>
          </a:r>
        </a:p>
      </xdr:txBody>
    </xdr:sp>
    <xdr:clientData/>
  </xdr:twoCellAnchor>
  <xdr:twoCellAnchor>
    <xdr:from>
      <xdr:col>4</xdr:col>
      <xdr:colOff>352051</xdr:colOff>
      <xdr:row>21</xdr:row>
      <xdr:rowOff>126728</xdr:rowOff>
    </xdr:from>
    <xdr:to>
      <xdr:col>4</xdr:col>
      <xdr:colOff>584201</xdr:colOff>
      <xdr:row>22</xdr:row>
      <xdr:rowOff>181351</xdr:rowOff>
    </xdr:to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2D46BDC4-27DA-42C7-85E1-215444159C3B}"/>
            </a:ext>
          </a:extLst>
        </xdr:cNvPr>
        <xdr:cNvSpPr txBox="1"/>
      </xdr:nvSpPr>
      <xdr:spPr>
        <a:xfrm>
          <a:off x="5725653" y="4018663"/>
          <a:ext cx="232150" cy="2389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2</a:t>
          </a:r>
        </a:p>
      </xdr:txBody>
    </xdr:sp>
    <xdr:clientData/>
  </xdr:twoCellAnchor>
  <xdr:twoCellAnchor>
    <xdr:from>
      <xdr:col>5</xdr:col>
      <xdr:colOff>408859</xdr:colOff>
      <xdr:row>23</xdr:row>
      <xdr:rowOff>60632</xdr:rowOff>
    </xdr:from>
    <xdr:to>
      <xdr:col>6</xdr:col>
      <xdr:colOff>20482</xdr:colOff>
      <xdr:row>24</xdr:row>
      <xdr:rowOff>116074</xdr:rowOff>
    </xdr:to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73B69CD2-848B-4326-96FA-879B2322C1BE}"/>
            </a:ext>
          </a:extLst>
        </xdr:cNvPr>
        <xdr:cNvSpPr txBox="1"/>
      </xdr:nvSpPr>
      <xdr:spPr>
        <a:xfrm>
          <a:off x="6704235" y="4321277"/>
          <a:ext cx="376355" cy="2397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1.5</a:t>
          </a:r>
        </a:p>
      </xdr:txBody>
    </xdr:sp>
    <xdr:clientData/>
  </xdr:twoCellAnchor>
  <xdr:twoCellAnchor>
    <xdr:from>
      <xdr:col>6</xdr:col>
      <xdr:colOff>609055</xdr:colOff>
      <xdr:row>17</xdr:row>
      <xdr:rowOff>76474</xdr:rowOff>
    </xdr:from>
    <xdr:to>
      <xdr:col>7</xdr:col>
      <xdr:colOff>76474</xdr:colOff>
      <xdr:row>18</xdr:row>
      <xdr:rowOff>131097</xdr:rowOff>
    </xdr:to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525DF416-A54D-4F92-8983-1FD9B5552F65}"/>
            </a:ext>
          </a:extLst>
        </xdr:cNvPr>
        <xdr:cNvSpPr txBox="1"/>
      </xdr:nvSpPr>
      <xdr:spPr>
        <a:xfrm>
          <a:off x="7669163" y="3230990"/>
          <a:ext cx="232150" cy="2389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2</a:t>
          </a:r>
        </a:p>
      </xdr:txBody>
    </xdr:sp>
    <xdr:clientData/>
  </xdr:twoCellAnchor>
  <xdr:twoCellAnchor>
    <xdr:from>
      <xdr:col>7</xdr:col>
      <xdr:colOff>20484</xdr:colOff>
      <xdr:row>23</xdr:row>
      <xdr:rowOff>44519</xdr:rowOff>
    </xdr:from>
    <xdr:to>
      <xdr:col>7</xdr:col>
      <xdr:colOff>512096</xdr:colOff>
      <xdr:row>24</xdr:row>
      <xdr:rowOff>88763</xdr:rowOff>
    </xdr:to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F8B70281-7BB6-4307-B115-541578919ECA}"/>
            </a:ext>
          </a:extLst>
        </xdr:cNvPr>
        <xdr:cNvSpPr txBox="1"/>
      </xdr:nvSpPr>
      <xdr:spPr>
        <a:xfrm>
          <a:off x="7845323" y="4305164"/>
          <a:ext cx="491612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0.71</a:t>
          </a:r>
        </a:p>
      </xdr:txBody>
    </xdr:sp>
    <xdr:clientData/>
  </xdr:twoCellAnchor>
  <xdr:twoCellAnchor>
    <xdr:from>
      <xdr:col>8</xdr:col>
      <xdr:colOff>232150</xdr:colOff>
      <xdr:row>20</xdr:row>
      <xdr:rowOff>33047</xdr:rowOff>
    </xdr:from>
    <xdr:to>
      <xdr:col>8</xdr:col>
      <xdr:colOff>675967</xdr:colOff>
      <xdr:row>21</xdr:row>
      <xdr:rowOff>68281</xdr:rowOff>
    </xdr:to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20AE4824-2341-449C-B506-0ED9BD529938}"/>
            </a:ext>
          </a:extLst>
        </xdr:cNvPr>
        <xdr:cNvSpPr txBox="1"/>
      </xdr:nvSpPr>
      <xdr:spPr>
        <a:xfrm>
          <a:off x="8821720" y="3740628"/>
          <a:ext cx="443817" cy="21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0.31</a:t>
          </a:r>
        </a:p>
      </xdr:txBody>
    </xdr:sp>
    <xdr:clientData/>
  </xdr:twoCellAnchor>
  <xdr:twoCellAnchor>
    <xdr:from>
      <xdr:col>8</xdr:col>
      <xdr:colOff>1031022</xdr:colOff>
      <xdr:row>22</xdr:row>
      <xdr:rowOff>89856</xdr:rowOff>
    </xdr:from>
    <xdr:to>
      <xdr:col>8</xdr:col>
      <xdr:colOff>1508978</xdr:colOff>
      <xdr:row>23</xdr:row>
      <xdr:rowOff>95592</xdr:rowOff>
    </xdr:to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3BDA6311-6773-4104-AA63-0E9984CA60EE}"/>
            </a:ext>
          </a:extLst>
        </xdr:cNvPr>
        <xdr:cNvSpPr txBox="1"/>
      </xdr:nvSpPr>
      <xdr:spPr>
        <a:xfrm>
          <a:off x="9620592" y="4166146"/>
          <a:ext cx="477956" cy="190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0.71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0</xdr:row>
      <xdr:rowOff>0</xdr:rowOff>
    </xdr:from>
    <xdr:to>
      <xdr:col>15</xdr:col>
      <xdr:colOff>390408</xdr:colOff>
      <xdr:row>15</xdr:row>
      <xdr:rowOff>95945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DFCA7B4-F5C3-40A1-86F3-19BDB6766950}"/>
                </a:ext>
              </a:extLst>
            </xdr:cNvPr>
            <xdr:cNvSpPr txBox="1"/>
          </xdr:nvSpPr>
          <xdr:spPr>
            <a:xfrm>
              <a:off x="7626350" y="0"/>
              <a:ext cx="4194058" cy="285819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Cálculo de Probabilidad para 8 Semanas</a:t>
              </a:r>
            </a:p>
            <a:p>
              <a:endParaRPr lang="es-MX" sz="1100"/>
            </a:p>
            <a:p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Datos: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Tiempo esperado (M)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= 12.22 semanas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Tiempo deseado (X)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= 8 semanas (solicitud del cliente)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Varianza total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= Suma de varianzas en ruta crítica = 0.03+0.01+0.03+0.03+0.03+0.03+0.03+0.01+0.00+0.01 = 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0.21</a:t>
              </a:r>
              <a:endParaRPr lang="es-MX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Desviación estándar (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σ)</a:t>
              </a:r>
              <a:r>
                <a:rPr lang="el-G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= √0.21 = 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0.458</a:t>
              </a:r>
              <a:endParaRPr lang="el-G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MX" sz="1100"/>
            </a:p>
            <a:p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Cálculo de Z: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𝑍</m:t>
                    </m:r>
                    <m:r>
                      <a:rPr lang="es-MX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𝑋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𝑀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8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12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22</m:t>
                        </m:r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0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458</m:t>
                        </m:r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4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22</m:t>
                        </m:r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0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458</m:t>
                        </m:r>
                      </m:den>
                    </m:f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=−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9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.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21</m:t>
                    </m:r>
                  </m:oMath>
                </m:oMathPara>
              </a14:m>
              <a:endParaRPr lang="ar-AE"/>
            </a:p>
            <a:p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Interpretación: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Z = -9.21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(valor extremadamente bajo)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Probabilidad ≈ 0%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(prácticamente imposible)</a:t>
              </a:r>
            </a:p>
            <a:p>
              <a:endParaRPr lang="es-MX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DFCA7B4-F5C3-40A1-86F3-19BDB6766950}"/>
                </a:ext>
              </a:extLst>
            </xdr:cNvPr>
            <xdr:cNvSpPr txBox="1"/>
          </xdr:nvSpPr>
          <xdr:spPr>
            <a:xfrm>
              <a:off x="7626350" y="0"/>
              <a:ext cx="4194058" cy="285819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Cálculo de Probabilidad para 8 Semanas</a:t>
              </a:r>
            </a:p>
            <a:p>
              <a:endParaRPr lang="es-MX" sz="1100"/>
            </a:p>
            <a:p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Datos: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Tiempo esperado (M)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= 12.22 semanas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Tiempo deseado (X)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= 8 semanas (solicitud del cliente)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Varianza total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= Suma de varianzas en ruta crítica = 0.03+0.01+0.03+0.03+0.03+0.03+0.03+0.01+0.00+0.01 = 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0.21</a:t>
              </a:r>
              <a:endParaRPr lang="es-MX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Desviación estándar (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σ)</a:t>
              </a:r>
              <a:r>
                <a:rPr lang="el-G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= √0.21 = </a:t>
              </a:r>
              <a:r>
                <a:rPr lang="el-GR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0.458</a:t>
              </a:r>
              <a:endParaRPr lang="el-G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MX" sz="1100"/>
            </a:p>
            <a:p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Cálculo de Z:</a:t>
              </a:r>
            </a:p>
            <a:p>
              <a:r>
                <a:rPr lang="es-MX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𝑍=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(𝑋−𝑀)/𝜎=(8−12.22)/0.458=(−4.22)/0.458=−9.21</a:t>
              </a:r>
              <a:endParaRPr lang="ar-AE"/>
            </a:p>
            <a:p>
              <a:r>
                <a:rPr lang="es-MX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Interpretación: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Z = -9.21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(valor extremadamente bajo)</a:t>
              </a:r>
            </a:p>
            <a:p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Probabilidad ≈ 0%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(prácticamente imposible)</a:t>
              </a:r>
            </a:p>
            <a:p>
              <a:endParaRPr lang="es-MX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0</xdr:row>
      <xdr:rowOff>0</xdr:rowOff>
    </xdr:from>
    <xdr:to>
      <xdr:col>9</xdr:col>
      <xdr:colOff>6350</xdr:colOff>
      <xdr:row>1</xdr:row>
      <xdr:rowOff>25400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4CE7864-368E-41B4-950D-CB18CE4BF7D6}"/>
            </a:ext>
          </a:extLst>
        </xdr:cNvPr>
        <xdr:cNvSpPr txBox="1"/>
      </xdr:nvSpPr>
      <xdr:spPr>
        <a:xfrm>
          <a:off x="13957300" y="0"/>
          <a:ext cx="6178550" cy="21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MX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Cálculos PERT y Ruta Crítica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7210-4F6B-4590-B93F-9933E836D3F3}">
  <dimension ref="A1:J16"/>
  <sheetViews>
    <sheetView topLeftCell="I9" zoomScale="63" workbookViewId="0">
      <selection activeCell="W21" sqref="W21"/>
    </sheetView>
  </sheetViews>
  <sheetFormatPr baseColWidth="10" defaultRowHeight="14.5" x14ac:dyDescent="0.35"/>
  <cols>
    <col min="1" max="1" width="9.08984375" customWidth="1"/>
    <col min="2" max="2" width="38" customWidth="1"/>
    <col min="3" max="3" width="13.1796875" customWidth="1"/>
    <col min="4" max="4" width="16.6328125" customWidth="1"/>
    <col min="5" max="5" width="13.1796875" customWidth="1"/>
    <col min="9" max="9" width="22.453125" customWidth="1"/>
    <col min="16" max="16" width="12" customWidth="1"/>
  </cols>
  <sheetData>
    <row r="1" spans="1:10" ht="15" thickBot="1" x14ac:dyDescent="0.4"/>
    <row r="2" spans="1:10" x14ac:dyDescent="0.35">
      <c r="A2" s="3" t="s">
        <v>0</v>
      </c>
      <c r="B2" s="4" t="s">
        <v>1</v>
      </c>
      <c r="C2" s="4" t="s">
        <v>36</v>
      </c>
      <c r="D2" s="4" t="s">
        <v>38</v>
      </c>
      <c r="E2" s="4" t="s">
        <v>37</v>
      </c>
      <c r="F2" s="5" t="s">
        <v>2</v>
      </c>
      <c r="G2" s="22"/>
      <c r="H2" s="3" t="s">
        <v>0</v>
      </c>
      <c r="I2" s="23" t="s">
        <v>46</v>
      </c>
      <c r="J2" s="5" t="s">
        <v>2</v>
      </c>
    </row>
    <row r="3" spans="1:10" x14ac:dyDescent="0.35">
      <c r="A3" s="6" t="s">
        <v>3</v>
      </c>
      <c r="B3" s="2" t="s">
        <v>16</v>
      </c>
      <c r="C3" s="13">
        <v>0.5</v>
      </c>
      <c r="D3" s="13">
        <v>1</v>
      </c>
      <c r="E3" s="13">
        <v>1.5</v>
      </c>
      <c r="F3" s="11" t="s">
        <v>31</v>
      </c>
      <c r="G3" s="21"/>
      <c r="H3" s="6" t="s">
        <v>3</v>
      </c>
      <c r="I3" s="13">
        <f>(C3+4*D3+E3)/6</f>
        <v>1</v>
      </c>
      <c r="J3" s="11" t="s">
        <v>31</v>
      </c>
    </row>
    <row r="4" spans="1:10" x14ac:dyDescent="0.35">
      <c r="A4" s="6" t="s">
        <v>4</v>
      </c>
      <c r="B4" s="2" t="s">
        <v>17</v>
      </c>
      <c r="C4" s="13">
        <v>0.2</v>
      </c>
      <c r="D4" s="13">
        <v>0.5</v>
      </c>
      <c r="E4" s="13">
        <v>0.8</v>
      </c>
      <c r="F4" s="11" t="s">
        <v>3</v>
      </c>
      <c r="G4" s="21"/>
      <c r="H4" s="6" t="s">
        <v>4</v>
      </c>
      <c r="I4" s="13">
        <f t="shared" ref="I4:I16" si="0">(C4+4*D4+E4)/6</f>
        <v>0.5</v>
      </c>
      <c r="J4" s="11" t="s">
        <v>3</v>
      </c>
    </row>
    <row r="5" spans="1:10" x14ac:dyDescent="0.35">
      <c r="A5" s="6" t="s">
        <v>5</v>
      </c>
      <c r="B5" s="2" t="s">
        <v>18</v>
      </c>
      <c r="C5" s="13">
        <v>1</v>
      </c>
      <c r="D5" s="13">
        <v>1.5</v>
      </c>
      <c r="E5" s="13">
        <v>2</v>
      </c>
      <c r="F5" s="11" t="s">
        <v>4</v>
      </c>
      <c r="G5" s="21"/>
      <c r="H5" s="6" t="s">
        <v>5</v>
      </c>
      <c r="I5" s="13">
        <f t="shared" si="0"/>
        <v>1.5</v>
      </c>
      <c r="J5" s="11" t="s">
        <v>4</v>
      </c>
    </row>
    <row r="6" spans="1:10" x14ac:dyDescent="0.35">
      <c r="A6" s="6" t="s">
        <v>6</v>
      </c>
      <c r="B6" s="2" t="s">
        <v>19</v>
      </c>
      <c r="C6" s="13">
        <v>0.5</v>
      </c>
      <c r="D6" s="13">
        <v>1</v>
      </c>
      <c r="E6" s="13">
        <v>1.5</v>
      </c>
      <c r="F6" s="11" t="s">
        <v>4</v>
      </c>
      <c r="G6" s="21"/>
      <c r="H6" s="6" t="s">
        <v>6</v>
      </c>
      <c r="I6" s="13">
        <f t="shared" si="0"/>
        <v>1</v>
      </c>
      <c r="J6" s="11" t="s">
        <v>4</v>
      </c>
    </row>
    <row r="7" spans="1:10" x14ac:dyDescent="0.35">
      <c r="A7" s="6" t="s">
        <v>28</v>
      </c>
      <c r="B7" s="2" t="s">
        <v>20</v>
      </c>
      <c r="C7" s="13">
        <v>1.5</v>
      </c>
      <c r="D7" s="13">
        <v>2</v>
      </c>
      <c r="E7" s="13">
        <v>2.5</v>
      </c>
      <c r="F7" s="11" t="s">
        <v>32</v>
      </c>
      <c r="G7" s="21"/>
      <c r="H7" s="6" t="s">
        <v>28</v>
      </c>
      <c r="I7" s="13">
        <f t="shared" si="0"/>
        <v>2</v>
      </c>
      <c r="J7" s="11" t="s">
        <v>32</v>
      </c>
    </row>
    <row r="8" spans="1:10" x14ac:dyDescent="0.35">
      <c r="A8" s="6" t="s">
        <v>7</v>
      </c>
      <c r="B8" s="2" t="s">
        <v>21</v>
      </c>
      <c r="C8" s="13">
        <v>1.5</v>
      </c>
      <c r="D8" s="13">
        <v>2</v>
      </c>
      <c r="E8" s="13">
        <v>2.5</v>
      </c>
      <c r="F8" s="11" t="s">
        <v>32</v>
      </c>
      <c r="G8" s="21"/>
      <c r="H8" s="6" t="s">
        <v>7</v>
      </c>
      <c r="I8" s="13">
        <f t="shared" si="0"/>
        <v>2</v>
      </c>
      <c r="J8" s="11" t="s">
        <v>32</v>
      </c>
    </row>
    <row r="9" spans="1:10" x14ac:dyDescent="0.35">
      <c r="A9" s="6" t="s">
        <v>8</v>
      </c>
      <c r="B9" s="2" t="s">
        <v>22</v>
      </c>
      <c r="C9" s="13">
        <v>1</v>
      </c>
      <c r="D9" s="13">
        <v>1.5</v>
      </c>
      <c r="E9" s="13">
        <v>2</v>
      </c>
      <c r="F9" s="11" t="s">
        <v>33</v>
      </c>
      <c r="G9" s="21"/>
      <c r="H9" s="6" t="s">
        <v>8</v>
      </c>
      <c r="I9" s="13">
        <f t="shared" si="0"/>
        <v>1.5</v>
      </c>
      <c r="J9" s="11" t="s">
        <v>33</v>
      </c>
    </row>
    <row r="10" spans="1:10" x14ac:dyDescent="0.35">
      <c r="A10" s="6" t="s">
        <v>9</v>
      </c>
      <c r="B10" s="2" t="s">
        <v>23</v>
      </c>
      <c r="C10" s="13">
        <v>1</v>
      </c>
      <c r="D10" s="13">
        <v>1.5</v>
      </c>
      <c r="E10" s="13">
        <v>2</v>
      </c>
      <c r="F10" s="11" t="s">
        <v>33</v>
      </c>
      <c r="G10" s="21"/>
      <c r="H10" s="6" t="s">
        <v>9</v>
      </c>
      <c r="I10" s="13">
        <f t="shared" si="0"/>
        <v>1.5</v>
      </c>
      <c r="J10" s="11" t="s">
        <v>33</v>
      </c>
    </row>
    <row r="11" spans="1:10" x14ac:dyDescent="0.35">
      <c r="A11" s="6" t="s">
        <v>10</v>
      </c>
      <c r="B11" s="2" t="s">
        <v>24</v>
      </c>
      <c r="C11" s="13">
        <v>1.5</v>
      </c>
      <c r="D11" s="13">
        <v>2</v>
      </c>
      <c r="E11" s="13">
        <v>2.5</v>
      </c>
      <c r="F11" s="11" t="s">
        <v>34</v>
      </c>
      <c r="G11" s="21"/>
      <c r="H11" s="6" t="s">
        <v>10</v>
      </c>
      <c r="I11" s="13">
        <f t="shared" si="0"/>
        <v>2</v>
      </c>
      <c r="J11" s="11" t="s">
        <v>34</v>
      </c>
    </row>
    <row r="12" spans="1:10" x14ac:dyDescent="0.35">
      <c r="A12" s="6" t="s">
        <v>11</v>
      </c>
      <c r="B12" s="2" t="s">
        <v>25</v>
      </c>
      <c r="C12" s="13">
        <v>1</v>
      </c>
      <c r="D12" s="13">
        <v>1.5</v>
      </c>
      <c r="E12" s="13">
        <v>2</v>
      </c>
      <c r="F12" s="11" t="s">
        <v>34</v>
      </c>
      <c r="G12" s="21"/>
      <c r="H12" s="6" t="s">
        <v>11</v>
      </c>
      <c r="I12" s="13">
        <f t="shared" si="0"/>
        <v>1.5</v>
      </c>
      <c r="J12" s="11" t="s">
        <v>34</v>
      </c>
    </row>
    <row r="13" spans="1:10" x14ac:dyDescent="0.35">
      <c r="A13" s="6" t="s">
        <v>12</v>
      </c>
      <c r="B13" s="2" t="s">
        <v>26</v>
      </c>
      <c r="C13" s="13">
        <v>1.5</v>
      </c>
      <c r="D13" s="13">
        <v>2</v>
      </c>
      <c r="E13" s="13">
        <v>2.5</v>
      </c>
      <c r="F13" s="11" t="s">
        <v>35</v>
      </c>
      <c r="G13" s="21"/>
      <c r="H13" s="6" t="s">
        <v>12</v>
      </c>
      <c r="I13" s="13">
        <f t="shared" si="0"/>
        <v>2</v>
      </c>
      <c r="J13" s="11" t="s">
        <v>35</v>
      </c>
    </row>
    <row r="14" spans="1:10" x14ac:dyDescent="0.35">
      <c r="A14" s="6" t="s">
        <v>13</v>
      </c>
      <c r="B14" s="2" t="s">
        <v>27</v>
      </c>
      <c r="C14" s="13">
        <v>0.5</v>
      </c>
      <c r="D14" s="13">
        <v>0.7</v>
      </c>
      <c r="E14" s="13">
        <v>1</v>
      </c>
      <c r="F14" s="11" t="s">
        <v>12</v>
      </c>
      <c r="G14" s="21"/>
      <c r="H14" s="6" t="s">
        <v>13</v>
      </c>
      <c r="I14" s="13">
        <f t="shared" si="0"/>
        <v>0.71666666666666667</v>
      </c>
      <c r="J14" s="11" t="s">
        <v>12</v>
      </c>
    </row>
    <row r="15" spans="1:10" x14ac:dyDescent="0.35">
      <c r="A15" s="6" t="s">
        <v>14</v>
      </c>
      <c r="B15" s="2" t="s">
        <v>29</v>
      </c>
      <c r="C15" s="13">
        <v>0.2</v>
      </c>
      <c r="D15" s="13">
        <v>0.3</v>
      </c>
      <c r="E15" s="13">
        <v>0.5</v>
      </c>
      <c r="F15" s="11" t="s">
        <v>13</v>
      </c>
      <c r="G15" s="21"/>
      <c r="H15" s="6" t="s">
        <v>14</v>
      </c>
      <c r="I15" s="13">
        <f t="shared" si="0"/>
        <v>0.31666666666666665</v>
      </c>
      <c r="J15" s="11" t="s">
        <v>13</v>
      </c>
    </row>
    <row r="16" spans="1:10" ht="15" thickBot="1" x14ac:dyDescent="0.4">
      <c r="A16" s="8" t="s">
        <v>15</v>
      </c>
      <c r="B16" s="9" t="s">
        <v>30</v>
      </c>
      <c r="C16" s="14">
        <v>0.5</v>
      </c>
      <c r="D16" s="14">
        <v>0.7</v>
      </c>
      <c r="E16" s="14">
        <v>1</v>
      </c>
      <c r="F16" s="12" t="s">
        <v>14</v>
      </c>
      <c r="G16" s="21"/>
      <c r="H16" s="8" t="s">
        <v>15</v>
      </c>
      <c r="I16" s="13">
        <f t="shared" si="0"/>
        <v>0.71666666666666667</v>
      </c>
      <c r="J16" s="12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6B3E-CC47-44CC-881E-A7DCE6561709}">
  <dimension ref="B1:I16"/>
  <sheetViews>
    <sheetView tabSelected="1" workbookViewId="0">
      <selection activeCell="K18" sqref="K18"/>
    </sheetView>
  </sheetViews>
  <sheetFormatPr baseColWidth="10" defaultRowHeight="14.5" x14ac:dyDescent="0.35"/>
  <sheetData>
    <row r="1" spans="2:9" x14ac:dyDescent="0.35">
      <c r="B1" s="16"/>
      <c r="C1" s="17"/>
      <c r="D1" s="17"/>
      <c r="E1" s="17"/>
      <c r="F1" s="17"/>
      <c r="G1" s="17"/>
      <c r="H1" s="17"/>
      <c r="I1" s="18"/>
    </row>
    <row r="2" spans="2:9" x14ac:dyDescent="0.35">
      <c r="B2" s="19" t="s">
        <v>0</v>
      </c>
      <c r="C2" s="1" t="s">
        <v>39</v>
      </c>
      <c r="D2" s="15" t="s">
        <v>40</v>
      </c>
      <c r="E2" s="15" t="s">
        <v>41</v>
      </c>
      <c r="F2" s="15" t="s">
        <v>42</v>
      </c>
      <c r="G2" s="15" t="s">
        <v>43</v>
      </c>
      <c r="H2" s="15" t="s">
        <v>44</v>
      </c>
      <c r="I2" s="20" t="s">
        <v>45</v>
      </c>
    </row>
    <row r="3" spans="2:9" x14ac:dyDescent="0.35">
      <c r="B3" s="6" t="s">
        <v>3</v>
      </c>
      <c r="C3" s="2">
        <v>1</v>
      </c>
      <c r="D3" s="2">
        <v>0.03</v>
      </c>
      <c r="E3" s="2">
        <v>0</v>
      </c>
      <c r="F3" s="2">
        <v>1</v>
      </c>
      <c r="G3" s="2">
        <v>0</v>
      </c>
      <c r="H3" s="2">
        <v>1</v>
      </c>
      <c r="I3" s="7">
        <v>0</v>
      </c>
    </row>
    <row r="4" spans="2:9" x14ac:dyDescent="0.35">
      <c r="B4" s="6" t="s">
        <v>4</v>
      </c>
      <c r="C4" s="2">
        <v>0.5</v>
      </c>
      <c r="D4" s="2">
        <v>0.01</v>
      </c>
      <c r="E4" s="2">
        <v>1</v>
      </c>
      <c r="F4" s="2">
        <v>1.5</v>
      </c>
      <c r="G4" s="2">
        <v>1</v>
      </c>
      <c r="H4" s="2">
        <v>1.5</v>
      </c>
      <c r="I4" s="7">
        <v>0</v>
      </c>
    </row>
    <row r="5" spans="2:9" x14ac:dyDescent="0.35">
      <c r="B5" s="6" t="s">
        <v>5</v>
      </c>
      <c r="C5" s="2">
        <v>1.5</v>
      </c>
      <c r="D5" s="2">
        <v>0.03</v>
      </c>
      <c r="E5" s="2">
        <v>1.5</v>
      </c>
      <c r="F5" s="2">
        <v>3</v>
      </c>
      <c r="G5" s="2">
        <v>1.5</v>
      </c>
      <c r="H5" s="2">
        <v>3</v>
      </c>
      <c r="I5" s="7">
        <v>0</v>
      </c>
    </row>
    <row r="6" spans="2:9" x14ac:dyDescent="0.35">
      <c r="B6" s="6" t="s">
        <v>6</v>
      </c>
      <c r="C6" s="2">
        <v>1</v>
      </c>
      <c r="D6" s="2">
        <v>0.03</v>
      </c>
      <c r="E6" s="2">
        <v>1.5</v>
      </c>
      <c r="F6" s="2">
        <v>2.5</v>
      </c>
      <c r="G6" s="2">
        <v>2</v>
      </c>
      <c r="H6" s="2">
        <v>3</v>
      </c>
      <c r="I6" s="7">
        <v>0.5</v>
      </c>
    </row>
    <row r="7" spans="2:9" x14ac:dyDescent="0.35">
      <c r="B7" s="6" t="s">
        <v>28</v>
      </c>
      <c r="C7" s="2">
        <v>2</v>
      </c>
      <c r="D7" s="2">
        <v>0.03</v>
      </c>
      <c r="E7" s="2">
        <v>3</v>
      </c>
      <c r="F7" s="2">
        <v>5</v>
      </c>
      <c r="G7" s="2">
        <v>3</v>
      </c>
      <c r="H7" s="2">
        <v>5</v>
      </c>
      <c r="I7" s="7">
        <v>0</v>
      </c>
    </row>
    <row r="8" spans="2:9" x14ac:dyDescent="0.35">
      <c r="B8" s="6" t="s">
        <v>7</v>
      </c>
      <c r="C8" s="2">
        <v>2</v>
      </c>
      <c r="D8" s="2">
        <v>0.03</v>
      </c>
      <c r="E8" s="2">
        <v>3</v>
      </c>
      <c r="F8" s="2">
        <v>5</v>
      </c>
      <c r="G8" s="2">
        <v>3</v>
      </c>
      <c r="H8" s="2">
        <v>5</v>
      </c>
      <c r="I8" s="7">
        <v>0</v>
      </c>
    </row>
    <row r="9" spans="2:9" x14ac:dyDescent="0.35">
      <c r="B9" s="6" t="s">
        <v>8</v>
      </c>
      <c r="C9" s="2">
        <v>1.5</v>
      </c>
      <c r="D9" s="2">
        <v>0.03</v>
      </c>
      <c r="E9" s="2">
        <v>5</v>
      </c>
      <c r="F9" s="2">
        <v>6.5</v>
      </c>
      <c r="G9" s="2">
        <v>5</v>
      </c>
      <c r="H9" s="2">
        <v>6.5</v>
      </c>
      <c r="I9" s="7">
        <v>0</v>
      </c>
    </row>
    <row r="10" spans="2:9" x14ac:dyDescent="0.35">
      <c r="B10" s="6" t="s">
        <v>9</v>
      </c>
      <c r="C10" s="2">
        <v>1.5</v>
      </c>
      <c r="D10" s="2">
        <v>0.03</v>
      </c>
      <c r="E10" s="2">
        <v>5</v>
      </c>
      <c r="F10" s="2">
        <v>6.5</v>
      </c>
      <c r="G10" s="2">
        <v>5.5</v>
      </c>
      <c r="H10" s="2">
        <v>7</v>
      </c>
      <c r="I10" s="7">
        <v>0.5</v>
      </c>
    </row>
    <row r="11" spans="2:9" x14ac:dyDescent="0.35">
      <c r="B11" s="6" t="s">
        <v>10</v>
      </c>
      <c r="C11" s="2">
        <v>2</v>
      </c>
      <c r="D11" s="2">
        <v>0.03</v>
      </c>
      <c r="E11" s="2">
        <v>6.5</v>
      </c>
      <c r="F11" s="2">
        <v>8.5</v>
      </c>
      <c r="G11" s="2">
        <v>6.5</v>
      </c>
      <c r="H11" s="2">
        <v>8.5</v>
      </c>
      <c r="I11" s="7">
        <v>0</v>
      </c>
    </row>
    <row r="12" spans="2:9" x14ac:dyDescent="0.35">
      <c r="B12" s="6" t="s">
        <v>11</v>
      </c>
      <c r="C12" s="2">
        <v>1.5</v>
      </c>
      <c r="D12" s="2">
        <v>0.03</v>
      </c>
      <c r="E12" s="2">
        <v>6.5</v>
      </c>
      <c r="F12" s="2">
        <v>8</v>
      </c>
      <c r="G12" s="2">
        <v>7</v>
      </c>
      <c r="H12" s="2">
        <v>8.5</v>
      </c>
      <c r="I12" s="7">
        <v>0.5</v>
      </c>
    </row>
    <row r="13" spans="2:9" x14ac:dyDescent="0.35">
      <c r="B13" s="6" t="s">
        <v>12</v>
      </c>
      <c r="C13" s="2">
        <v>2</v>
      </c>
      <c r="D13" s="2">
        <v>0.03</v>
      </c>
      <c r="E13" s="2">
        <v>8.5</v>
      </c>
      <c r="F13" s="2">
        <v>10.5</v>
      </c>
      <c r="G13" s="2">
        <v>8.5</v>
      </c>
      <c r="H13" s="2">
        <v>10.5</v>
      </c>
      <c r="I13" s="7">
        <v>0</v>
      </c>
    </row>
    <row r="14" spans="2:9" x14ac:dyDescent="0.35">
      <c r="B14" s="6" t="s">
        <v>13</v>
      </c>
      <c r="C14" s="2">
        <v>0.7</v>
      </c>
      <c r="D14" s="2">
        <v>0.01</v>
      </c>
      <c r="E14" s="2">
        <v>10.5</v>
      </c>
      <c r="F14" s="2">
        <v>11.2</v>
      </c>
      <c r="G14" s="2">
        <v>10.5</v>
      </c>
      <c r="H14" s="2">
        <v>11.2</v>
      </c>
      <c r="I14" s="7">
        <v>0</v>
      </c>
    </row>
    <row r="15" spans="2:9" ht="15" thickBot="1" x14ac:dyDescent="0.4">
      <c r="B15" s="6" t="s">
        <v>14</v>
      </c>
      <c r="C15" s="2">
        <v>0.32</v>
      </c>
      <c r="D15" s="2">
        <v>0</v>
      </c>
      <c r="E15" s="2">
        <v>11.2</v>
      </c>
      <c r="F15" s="9">
        <v>11.52</v>
      </c>
      <c r="G15" s="2">
        <v>11.2</v>
      </c>
      <c r="H15" s="9">
        <v>11.52</v>
      </c>
      <c r="I15" s="7">
        <v>0</v>
      </c>
    </row>
    <row r="16" spans="2:9" ht="15" thickBot="1" x14ac:dyDescent="0.4">
      <c r="B16" s="8" t="s">
        <v>15</v>
      </c>
      <c r="C16" s="2">
        <v>0.7</v>
      </c>
      <c r="D16" s="2">
        <v>0.01</v>
      </c>
      <c r="E16" s="9">
        <v>11.52</v>
      </c>
      <c r="F16" s="9">
        <v>12.22</v>
      </c>
      <c r="G16" s="9">
        <v>11.52</v>
      </c>
      <c r="H16" s="9">
        <v>12.22</v>
      </c>
      <c r="I16" s="1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marin sanchez</dc:creator>
  <cp:lastModifiedBy>manuel marin sanchez</cp:lastModifiedBy>
  <dcterms:created xsi:type="dcterms:W3CDTF">2025-10-19T06:18:17Z</dcterms:created>
  <dcterms:modified xsi:type="dcterms:W3CDTF">2025-10-20T08:10:11Z</dcterms:modified>
</cp:coreProperties>
</file>